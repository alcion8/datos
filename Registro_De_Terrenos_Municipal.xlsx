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/>
  <xr:revisionPtr revIDLastSave="0" documentId="13_ncr:1_{8EC2E351-4C49-4433-B647-B2B1578A0391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1. Registro de Terrenos" sheetId="1" r:id="rId1"/>
    <sheet name="2. Control de Usuarios y Claves" sheetId="2" r:id="rId2"/>
    <sheet name="3. Resumen y Estadísticas" sheetId="3" r:id="rId3"/>
  </sheet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" i="3" l="1"/>
  <c r="C3" i="3"/>
  <c r="N21" i="1"/>
  <c r="O20" i="1"/>
  <c r="H20" i="1"/>
  <c r="I20" i="1" s="1"/>
  <c r="O19" i="1"/>
  <c r="H19" i="1"/>
  <c r="I19" i="1" s="1"/>
  <c r="O18" i="1"/>
  <c r="H18" i="1"/>
  <c r="I18" i="1" s="1"/>
  <c r="O17" i="1"/>
  <c r="H17" i="1"/>
  <c r="I17" i="1" s="1"/>
  <c r="O16" i="1"/>
  <c r="I16" i="1"/>
  <c r="H16" i="1"/>
  <c r="O15" i="1"/>
  <c r="H15" i="1"/>
  <c r="I15" i="1" s="1"/>
  <c r="O14" i="1"/>
  <c r="H14" i="1"/>
  <c r="I14" i="1" s="1"/>
  <c r="O13" i="1"/>
  <c r="H13" i="1"/>
  <c r="I13" i="1" s="1"/>
  <c r="O12" i="1"/>
  <c r="H12" i="1"/>
  <c r="I12" i="1" s="1"/>
  <c r="O11" i="1"/>
  <c r="H11" i="1"/>
  <c r="I11" i="1" s="1"/>
  <c r="O10" i="1"/>
  <c r="H10" i="1"/>
  <c r="I10" i="1" s="1"/>
  <c r="O9" i="1"/>
  <c r="H9" i="1"/>
  <c r="I9" i="1" s="1"/>
  <c r="O8" i="1"/>
  <c r="H8" i="1"/>
  <c r="I8" i="1" s="1"/>
  <c r="O7" i="1"/>
  <c r="I7" i="1"/>
  <c r="H7" i="1"/>
  <c r="O6" i="1"/>
  <c r="C7" i="3" s="1"/>
  <c r="H6" i="1"/>
  <c r="H21" i="1" s="1"/>
  <c r="O21" i="1" l="1"/>
  <c r="C4" i="3"/>
  <c r="I6" i="1"/>
  <c r="C5" i="3" l="1"/>
  <c r="I21" i="1"/>
</calcChain>
</file>

<file path=xl/sharedStrings.xml><?xml version="1.0" encoding="utf-8"?>
<sst xmlns="http://schemas.openxmlformats.org/spreadsheetml/2006/main" count="224" uniqueCount="178">
  <si>
    <t>SISTEMA UNIFICADO DE REGISTRO CATASTRAL DE TERRENOS MUNICIPALES</t>
  </si>
  <si>
    <t>Base de Datos Oficial para Gestión Territorial y Colaboración en GitHub (Acceso Restringido - 4 Usuarios Autorizados)</t>
  </si>
  <si>
    <t>📌 NOTA: Fila de encabezado flotante fijada. Las celdas de Superficie e Impuesto contienen fórmulas automatizadas. Actualizaciones sincronizadas vía GitHub.</t>
  </si>
  <si>
    <t>Código Catastral</t>
  </si>
  <si>
    <t>Zona / Barrio</t>
  </si>
  <si>
    <t>Dirección Exacta</t>
  </si>
  <si>
    <t>Propietario / Titular</t>
  </si>
  <si>
    <t>Documento ID / RUC</t>
  </si>
  <si>
    <t>Frente (m)</t>
  </si>
  <si>
    <t>Fondo (m)</t>
  </si>
  <si>
    <t>Superficie (m²)</t>
  </si>
  <si>
    <t>Superficie (Ha)</t>
  </si>
  <si>
    <t>Coordenadas GPS (Lat, Lng)</t>
  </si>
  <si>
    <t>Límites y Linderos</t>
  </si>
  <si>
    <t>Finalidad / Uso de Suelo</t>
  </si>
  <si>
    <t>Estatus Legal</t>
  </si>
  <si>
    <t>Valor Catastral ($)</t>
  </si>
  <si>
    <t>Impuesto Anual ($)</t>
  </si>
  <si>
    <t>Fecha Registro</t>
  </si>
  <si>
    <t>Usuario Registrador</t>
  </si>
  <si>
    <t>CAT-2026-001</t>
  </si>
  <si>
    <t>Centro Histórico</t>
  </si>
  <si>
    <t>Av. Bolívar #450 entre Calle 4 y 5</t>
  </si>
  <si>
    <t>Constructora Urbana S.A.</t>
  </si>
  <si>
    <t>J-30948271-0</t>
  </si>
  <si>
    <t>-12.04637, -77.04279</t>
  </si>
  <si>
    <t>N: Av. Bolívar / S: Lote 12 / E: Calle 4 / O: Prop. Privada</t>
  </si>
  <si>
    <t>Comercial</t>
  </si>
  <si>
    <t>Titulado</t>
  </si>
  <si>
    <t>2026-01-15</t>
  </si>
  <si>
    <t>USR-CAT-01</t>
  </si>
  <si>
    <t>CAT-2026-002</t>
  </si>
  <si>
    <t>San Martín</t>
  </si>
  <si>
    <t>Calle Los Álamos Lote 8 Mz B</t>
  </si>
  <si>
    <t>María Elena Morales</t>
  </si>
  <si>
    <t>0801198504932</t>
  </si>
  <si>
    <t>-12.04981, -77.03921</t>
  </si>
  <si>
    <t>N: Calle Los Álamos / S: Lote 9 / E: Pasaje A / O: Lote 7</t>
  </si>
  <si>
    <t>Residencial</t>
  </si>
  <si>
    <t>2026-01-18</t>
  </si>
  <si>
    <t>USR-INS-03</t>
  </si>
  <si>
    <t>CAT-2026-003</t>
  </si>
  <si>
    <t>Industrial Norte</t>
  </si>
  <si>
    <t>Vía Panamericana Km 14 Parcelación 4</t>
  </si>
  <si>
    <t>Logística del Norte Corp</t>
  </si>
  <si>
    <t>J-40192834-5</t>
  </si>
  <si>
    <t>-12.01234, -77.08765</t>
  </si>
  <si>
    <t>N: Vía Panamericana / S: Canal / E: Lote Ind 5 / O: Av. Fabril</t>
  </si>
  <si>
    <t>Industrial</t>
  </si>
  <si>
    <t>2026-01-20</t>
  </si>
  <si>
    <t>CAT-2026-004</t>
  </si>
  <si>
    <t>Los Pinos</t>
  </si>
  <si>
    <t>Av. Las Gardenias #1200</t>
  </si>
  <si>
    <t>Gobierno Municipal (Área Verde)</t>
  </si>
  <si>
    <t>M-00019283-0</t>
  </si>
  <si>
    <t>-12.05892, -77.02341</t>
  </si>
  <si>
    <t>N: Av. Gardenias / S: Quebrada / E: Calle 2 / O: Lote 14</t>
  </si>
  <si>
    <t>Equipamiento Urbano</t>
  </si>
  <si>
    <t>Dominio Público</t>
  </si>
  <si>
    <t>2026-02-01</t>
  </si>
  <si>
    <t>USR-JUR-02</t>
  </si>
  <si>
    <t>CAT-2026-005</t>
  </si>
  <si>
    <t>El Recreo</t>
  </si>
  <si>
    <t>Calle 8 de Diciembre #312</t>
  </si>
  <si>
    <t>Carlos Alberto Mendoza</t>
  </si>
  <si>
    <t>0102938475</t>
  </si>
  <si>
    <t>-12.06112, -77.03119</t>
  </si>
  <si>
    <t>N: Calle 8 / S: Lote 4 / E: Prop. Gómez / O: Lote 2</t>
  </si>
  <si>
    <t>En Trámite</t>
  </si>
  <si>
    <t>2026-02-05</t>
  </si>
  <si>
    <t>USR-INS-04</t>
  </si>
  <si>
    <t>CAT-2026-006</t>
  </si>
  <si>
    <t>Jr. Comercio #889 Escuadra 3</t>
  </si>
  <si>
    <t>Inversiones Patrimoniales SRL</t>
  </si>
  <si>
    <t>J-29837162-9</t>
  </si>
  <si>
    <t>-12.04510, -77.04100</t>
  </si>
  <si>
    <t>N: Jr. Comercio / S: Pasaje Colonial / E: Lote 22 / O: Lote 20</t>
  </si>
  <si>
    <t>2026-02-10</t>
  </si>
  <si>
    <t>CAT-2026-007</t>
  </si>
  <si>
    <t>Bella Vista</t>
  </si>
  <si>
    <t>Mirador de las Acacias Lote 5</t>
  </si>
  <si>
    <t>Herederos Familia Vargas</t>
  </si>
  <si>
    <t>0918273645</t>
  </si>
  <si>
    <t>-12.07340, -77.01920</t>
  </si>
  <si>
    <t>N: Calle Acacias / S: Talud / E: Lote 6 / O: Lote 4</t>
  </si>
  <si>
    <t>En Litigio</t>
  </si>
  <si>
    <t>2026-02-14</t>
  </si>
  <si>
    <t>CAT-2026-008</t>
  </si>
  <si>
    <t>Av. Las Industrias Mz D Lote 1</t>
  </si>
  <si>
    <t>Agroquímica del Valle SA</t>
  </si>
  <si>
    <t>J-50192837-1</t>
  </si>
  <si>
    <t>-12.01999, -77.08111</t>
  </si>
  <si>
    <t>N: Av. Industrias / S: Vía Férrea / E: Lote D2 / O: Av. Principal</t>
  </si>
  <si>
    <t>2026-02-22</t>
  </si>
  <si>
    <t>CAT-2026-009</t>
  </si>
  <si>
    <t>Residencial El Bosque</t>
  </si>
  <si>
    <t>Calle Los Pinos #740</t>
  </si>
  <si>
    <t>Roberto Gómez Silva</t>
  </si>
  <si>
    <t>0401928374</t>
  </si>
  <si>
    <t>-12.06821, -77.05432</t>
  </si>
  <si>
    <t>N: Calle Los Pinos / S: Lote 15 / E: Lote 10 / O: Calle Las Flores</t>
  </si>
  <si>
    <t>2026-03-01</t>
  </si>
  <si>
    <t>CAT-2026-010</t>
  </si>
  <si>
    <t>Pasaje San Jorge #105</t>
  </si>
  <si>
    <t>Sucesión Lucía Benítez</t>
  </si>
  <si>
    <t>0802938471</t>
  </si>
  <si>
    <t>-12.05120, -77.03810</t>
  </si>
  <si>
    <t>N: Pasaje San Jorge / S: Casa 107 / E: Lote 3 / O: Lote 1</t>
  </si>
  <si>
    <t>2026-03-04</t>
  </si>
  <si>
    <t>CAT-2026-011</t>
  </si>
  <si>
    <t>Reserva Ecológica</t>
  </si>
  <si>
    <t>Sector Cuenca Alta del Río Lote Municipal</t>
  </si>
  <si>
    <t>Municipio de la Ciudad</t>
  </si>
  <si>
    <t>M-00000001-9</t>
  </si>
  <si>
    <t>-12.09540, -76.99210</t>
  </si>
  <si>
    <t>N: Cerros Protección / S: Río / E: Lote Rec 2 / O: Propiedad Privada</t>
  </si>
  <si>
    <t>2026-03-12</t>
  </si>
  <si>
    <t>CAT-2026-012</t>
  </si>
  <si>
    <t>Calle Real #210</t>
  </si>
  <si>
    <t>Banco de Comercio E Inversiones</t>
  </si>
  <si>
    <t>J-09182736-4</t>
  </si>
  <si>
    <t>-12.04780, -77.04390</t>
  </si>
  <si>
    <t>N: Calle Real / S: Edificio Central / E: Calle 2 / O: Plaza Mayor</t>
  </si>
  <si>
    <t>2026-03-15</t>
  </si>
  <si>
    <t>CAT-2026-013</t>
  </si>
  <si>
    <t>Av. Universitaria Esquina Calle 12</t>
  </si>
  <si>
    <t>Universidad Metropolitana</t>
  </si>
  <si>
    <t>J-60192837-8</t>
  </si>
  <si>
    <t>-12.05990, -77.06780</t>
  </si>
  <si>
    <t>N: Av. Universitaria / S: Campus 2 / E: Calle 12 / O: Av. Central</t>
  </si>
  <si>
    <t>2026-03-20</t>
  </si>
  <si>
    <t>CAT-2026-014</t>
  </si>
  <si>
    <t>Cerro Mirador Sector B Lote Baldío</t>
  </si>
  <si>
    <t>Estado Nacional</t>
  </si>
  <si>
    <t>E-90182736-2</t>
  </si>
  <si>
    <t>-12.07910, -77.01450</t>
  </si>
  <si>
    <t>N: Lote B2 / S: Ladera Norte / E: Lote B4 / O: Calle Acceso</t>
  </si>
  <si>
    <t>Mixto</t>
  </si>
  <si>
    <t>Baldío Municipal</t>
  </si>
  <si>
    <t>2026-03-25</t>
  </si>
  <si>
    <t>CAT-2026-015</t>
  </si>
  <si>
    <t>Calle Los Cedros #512</t>
  </si>
  <si>
    <t>Fernando &amp; Sofía Benítez</t>
  </si>
  <si>
    <t>0192837465</t>
  </si>
  <si>
    <t>-12.06240, -77.02670</t>
  </si>
  <si>
    <t>N: Calle Los Cedros / S: Lote 8 / E: Lote 11 / O: Lote 9</t>
  </si>
  <si>
    <t>2026-03-28</t>
  </si>
  <si>
    <t>TOTALES GENERALES</t>
  </si>
  <si>
    <t>REGISTRO DE USUARIOS AUTORIZADOS Y CLAVES DE ACCESO CATASTRAL (MÁX. 4 PERSONAS)</t>
  </si>
  <si>
    <t>🔒 Solo las 4 personas registradas a continuación poseen credenciales para editar y firmar commits en GitHub</t>
  </si>
  <si>
    <t>ID Usuario</t>
  </si>
  <si>
    <t>Nombre Completo</t>
  </si>
  <si>
    <t>Rol / Cargo Catastral</t>
  </si>
  <si>
    <t>Clave de Acceso / PIN</t>
  </si>
  <si>
    <t>Estado</t>
  </si>
  <si>
    <t>Nivel Permisos</t>
  </si>
  <si>
    <t>Ing. Roberto Gómez</t>
  </si>
  <si>
    <t>Director de Catastro Municipal</t>
  </si>
  <si>
    <t>CAT-9821-KEY</t>
  </si>
  <si>
    <t>Activo</t>
  </si>
  <si>
    <t>Administrador Total (Read/Write/Commit)</t>
  </si>
  <si>
    <t>Dra. Elena Rostova</t>
  </si>
  <si>
    <t>Asesora Jurídica &amp; Estatus Legal</t>
  </si>
  <si>
    <t>JUR-4410-KEY</t>
  </si>
  <si>
    <t>Edición Estatus &amp; Legales</t>
  </si>
  <si>
    <t>Arq. Carlos Mendoza</t>
  </si>
  <si>
    <t>Inspector Zonal 1 (Norte &amp; Centro)</t>
  </si>
  <si>
    <t>INS-7732-KEY</t>
  </si>
  <si>
    <t>Registro &amp; Medición de Campo</t>
  </si>
  <si>
    <t>Lic. Sofía Benítez</t>
  </si>
  <si>
    <t>Inspectora Zonal 2 (Sur &amp; Este)</t>
  </si>
  <si>
    <t>INS-3109-KEY</t>
  </si>
  <si>
    <t>RESUMEN EJECUTIVO DEL REGISTRO DE TERRENOS</t>
  </si>
  <si>
    <t>Total Predios Registrados</t>
  </si>
  <si>
    <t>Superficie Total Registrada (m²)</t>
  </si>
  <si>
    <t>Superficie Total Registrada (Hectáreas)</t>
  </si>
  <si>
    <t>Valor Catastral Total del Suelo ($)</t>
  </si>
  <si>
    <t>Recaudación Impuesto Anual Estimada ($)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</si>
</sst>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6"/>
      <color rgb="FFFFFFFF"/>
      <name val="Segoe UI"/>
    </font>
    <font>
      <i/>
      <sz val="10"/>
      <color rgb="FF94A3B8"/>
      <name val="Segoe UI"/>
    </font>
    <font>
      <b/>
      <sz val="9"/>
      <color rgb="FF0369A1"/>
      <name val="Segoe UI"/>
    </font>
    <font>
      <b/>
      <sz val="11"/>
      <color rgb="FFFFFFFF"/>
      <name val="Segoe UI"/>
    </font>
    <font>
      <sz val="10"/>
      <color rgb="FF1E293B"/>
      <name val="Segoe UI"/>
    </font>
    <font>
      <u/>
      <sz val="10"/>
      <color rgb="FF0284C7"/>
      <name val="Segoe UI"/>
    </font>
    <font>
      <b/>
      <sz val="10"/>
      <color rgb="FF166534"/>
      <name val="Segoe UI"/>
    </font>
    <font>
      <b/>
      <sz val="10"/>
      <color rgb="FF075985"/>
      <name val="Segoe UI"/>
    </font>
    <font>
      <b/>
      <sz val="10"/>
      <color rgb="FF854D0E"/>
      <name val="Segoe UI"/>
    </font>
    <font>
      <b/>
      <sz val="10"/>
      <color rgb="FF991B1B"/>
      <name val="Segoe UI"/>
    </font>
    <font>
      <b/>
      <sz val="14"/>
      <color rgb="FFFFFFFF"/>
      <name val="Segoe UI"/>
    </font>
    <font>
      <i/>
      <sz val="10"/>
      <color rgb="FFDC2626"/>
      <name val="Segoe UI"/>
    </font>
    <font>
      <b/>
      <sz val="11"/>
      <color rgb="FF0369A1"/>
      <name val="Consolas"/>
    </font>
    <font>
      <b/>
      <sz val="11"/>
      <color rgb="FF1E293B"/>
      <name val="Segoe UI"/>
    </font>
    <font>
      <b/>
      <sz val="11"/>
      <color rgb="FF0F172A"/>
      <name val="Segoe UI"/>
    </font>
  </fonts>
  <fills count="14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1E293B"/>
      </patternFill>
    </fill>
    <fill>
      <patternFill patternType="solid">
        <fgColor rgb="FFE0F2FE"/>
      </patternFill>
    </fill>
    <fill>
      <patternFill patternType="solid">
        <fgColor rgb="FFFFFFFF"/>
      </patternFill>
    </fill>
    <fill>
      <patternFill patternType="solid">
        <fgColor rgb="FFDCFCE7"/>
      </patternFill>
    </fill>
    <fill>
      <patternFill patternType="solid">
        <fgColor rgb="FFF8FAFC"/>
      </patternFill>
    </fill>
    <fill>
      <patternFill patternType="solid">
        <fgColor rgb="FFFEF9C3"/>
      </patternFill>
    </fill>
    <fill>
      <patternFill patternType="solid">
        <fgColor rgb="FFFEE2E2"/>
      </patternFill>
    </fill>
    <fill>
      <patternFill patternType="solid">
        <fgColor rgb="FFFEF2F2"/>
      </patternFill>
    </fill>
    <fill>
      <patternFill patternType="solid">
        <fgColor rgb="FFF0F9FF"/>
      </patternFill>
    </fill>
    <fill>
      <patternFill patternType="solid">
        <fgColor rgb="FFF1F5F9"/>
      </patternFill>
    </fill>
    <fill>
      <patternFill patternType="solid">
        <fgColor rgb="FFE2E8F0"/>
      </patternFill>
    </fill>
  </fills>
  <borders count="4">
    <border>
      <left/>
      <right/>
      <top/>
      <bottom/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medium">
        <color rgb="FF0F172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4" fillId="3" borderId="1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left" vertical="center"/>
    </xf>
    <xf numFmtId="0" fontId="5" fillId="5" borderId="2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right" vertical="center"/>
    </xf>
    <xf numFmtId="0" fontId="6" fillId="5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5" fillId="7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left" vertical="center"/>
    </xf>
    <xf numFmtId="0" fontId="5" fillId="7" borderId="2" xfId="0" applyFont="1" applyFill="1" applyBorder="1" applyAlignment="1">
      <alignment horizontal="left" vertical="center" wrapText="1"/>
    </xf>
    <xf numFmtId="0" fontId="5" fillId="7" borderId="2" xfId="0" applyFont="1" applyFill="1" applyBorder="1" applyAlignment="1">
      <alignment horizontal="right" vertical="center"/>
    </xf>
    <xf numFmtId="0" fontId="6" fillId="7" borderId="2" xfId="0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left" vertical="center"/>
    </xf>
    <xf numFmtId="0" fontId="9" fillId="8" borderId="2" xfId="0" applyFont="1" applyFill="1" applyBorder="1" applyAlignment="1">
      <alignment horizontal="left" vertical="center"/>
    </xf>
    <xf numFmtId="0" fontId="10" fillId="9" borderId="2" xfId="0" applyFont="1" applyFill="1" applyBorder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0" fillId="2" borderId="0" xfId="0" applyFill="1"/>
    <xf numFmtId="0" fontId="4" fillId="3" borderId="0" xfId="0" applyFont="1" applyFill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0" fontId="13" fillId="11" borderId="3" xfId="0" applyFont="1" applyFill="1" applyBorder="1" applyAlignment="1">
      <alignment horizontal="center" vertical="center"/>
    </xf>
    <xf numFmtId="0" fontId="15" fillId="13" borderId="0" xfId="0" applyFont="1" applyFill="1" applyAlignment="1">
      <alignment horizontal="right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 indent="1"/>
    </xf>
    <xf numFmtId="0" fontId="4" fillId="2" borderId="0" xfId="0" applyFont="1" applyFill="1" applyAlignment="1">
      <alignment horizontal="right" vertical="center" indent="1"/>
    </xf>
    <xf numFmtId="0" fontId="11" fillId="2" borderId="0" xfId="0" applyFont="1" applyFill="1" applyAlignment="1">
      <alignment horizontal="center" vertical="center"/>
    </xf>
    <xf numFmtId="0" fontId="12" fillId="10" borderId="0" xfId="0" applyFont="1" applyFill="1" applyAlignment="1">
      <alignment horizontal="center" vertical="center"/>
    </xf>
    <xf numFmtId="0" fontId="14" fillId="12" borderId="0" xfId="0" applyFont="1" applyFill="1" applyAlignment="1">
      <alignment horizontal="lef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search/?api=1&amp;query=-12.01999%2C%20-77.08111" TargetMode="External"/><Relationship Id="rId13" Type="http://schemas.openxmlformats.org/officeDocument/2006/relationships/hyperlink" Target="https://www.google.com/maps/search/?api=1&amp;query=-12.05990%2C%20-77.06780" TargetMode="External"/><Relationship Id="rId3" Type="http://schemas.openxmlformats.org/officeDocument/2006/relationships/hyperlink" Target="https://www.google.com/maps/search/?api=1&amp;query=-12.01234%2C%20-77.08765" TargetMode="External"/><Relationship Id="rId7" Type="http://schemas.openxmlformats.org/officeDocument/2006/relationships/hyperlink" Target="https://www.google.com/maps/search/?api=1&amp;query=-12.07340%2C%20-77.01920" TargetMode="External"/><Relationship Id="rId12" Type="http://schemas.openxmlformats.org/officeDocument/2006/relationships/hyperlink" Target="https://www.google.com/maps/search/?api=1&amp;query=-12.04780%2C%20-77.04390" TargetMode="External"/><Relationship Id="rId2" Type="http://schemas.openxmlformats.org/officeDocument/2006/relationships/hyperlink" Target="https://www.google.com/maps/search/?api=1&amp;query=-12.04981%2C%20-77.03921" TargetMode="External"/><Relationship Id="rId1" Type="http://schemas.openxmlformats.org/officeDocument/2006/relationships/hyperlink" Target="https://www.google.com/maps/search/?api=1&amp;query=-12.04637%2C%20-77.04279" TargetMode="External"/><Relationship Id="rId6" Type="http://schemas.openxmlformats.org/officeDocument/2006/relationships/hyperlink" Target="https://www.google.com/maps/search/?api=1&amp;query=-12.04510%2C%20-77.04100" TargetMode="External"/><Relationship Id="rId11" Type="http://schemas.openxmlformats.org/officeDocument/2006/relationships/hyperlink" Target="https://www.google.com/maps/search/?api=1&amp;query=-12.09540%2C%20-76.99210" TargetMode="External"/><Relationship Id="rId5" Type="http://schemas.openxmlformats.org/officeDocument/2006/relationships/hyperlink" Target="https://www.google.com/maps/search/?api=1&amp;query=-12.06112%2C%20-77.03119" TargetMode="External"/><Relationship Id="rId15" Type="http://schemas.openxmlformats.org/officeDocument/2006/relationships/hyperlink" Target="https://www.google.com/maps/search/?api=1&amp;query=-12.06240%2C%20-77.02670" TargetMode="External"/><Relationship Id="rId10" Type="http://schemas.openxmlformats.org/officeDocument/2006/relationships/hyperlink" Target="https://www.google.com/maps/search/?api=1&amp;query=-12.05120%2C%20-77.03810" TargetMode="External"/><Relationship Id="rId4" Type="http://schemas.openxmlformats.org/officeDocument/2006/relationships/hyperlink" Target="https://www.google.com/maps/search/?api=1&amp;query=-12.05892%2C%20-77.02341" TargetMode="External"/><Relationship Id="rId9" Type="http://schemas.openxmlformats.org/officeDocument/2006/relationships/hyperlink" Target="https://www.google.com/maps/search/?api=1&amp;query=-12.06821%2C%20-77.05432" TargetMode="External"/><Relationship Id="rId14" Type="http://schemas.openxmlformats.org/officeDocument/2006/relationships/hyperlink" Target="https://www.google.com/maps/search/?api=1&amp;query=-12.07910%2C%20-77.0145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1"/>
  <sheetViews>
    <sheetView tabSelected="1" workbookViewId="0">
      <pane ySplit="5" topLeftCell="A6" activePane="bottomLeft" state="frozen"/>
      <selection pane="bottomLeft" activeCell="O12" sqref="O12"/>
    </sheetView>
  </sheetViews>
  <sheetFormatPr baseColWidth="10" defaultColWidth="9.140625" defaultRowHeight="15" x14ac:dyDescent="0.25"/>
  <cols>
    <col min="1" max="1" width="18" customWidth="1"/>
    <col min="2" max="2" width="22" customWidth="1"/>
    <col min="3" max="3" width="34" customWidth="1"/>
    <col min="4" max="4" width="28" customWidth="1"/>
    <col min="5" max="5" width="18" customWidth="1"/>
    <col min="6" max="7" width="14" customWidth="1"/>
    <col min="8" max="8" width="18" customWidth="1"/>
    <col min="9" max="9" width="16" customWidth="1"/>
    <col min="10" max="10" width="24" customWidth="1"/>
    <col min="11" max="11" width="38" customWidth="1"/>
    <col min="12" max="12" width="22" customWidth="1"/>
    <col min="13" max="13" width="18" customWidth="1"/>
    <col min="14" max="15" width="20" customWidth="1"/>
    <col min="16" max="16" width="16" customWidth="1"/>
    <col min="17" max="17" width="20" customWidth="1"/>
  </cols>
  <sheetData>
    <row r="1" spans="1:17" ht="36" customHeight="1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</row>
    <row r="2" spans="1:17" ht="21.95" customHeight="1" x14ac:dyDescent="0.25">
      <c r="A2" s="24" t="s">
        <v>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</row>
    <row r="3" spans="1:17" ht="20.100000000000001" customHeight="1" x14ac:dyDescent="0.25">
      <c r="A3" s="25" t="s">
        <v>2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</row>
    <row r="4" spans="1:17" ht="8.1" customHeight="1" x14ac:dyDescent="0.25"/>
    <row r="5" spans="1:17" ht="30" customHeight="1" x14ac:dyDescent="0.25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G5" s="1" t="s">
        <v>9</v>
      </c>
      <c r="H5" s="1" t="s">
        <v>10</v>
      </c>
      <c r="I5" s="1" t="s">
        <v>11</v>
      </c>
      <c r="J5" s="1" t="s">
        <v>12</v>
      </c>
      <c r="K5" s="1" t="s">
        <v>13</v>
      </c>
      <c r="L5" s="1" t="s">
        <v>14</v>
      </c>
      <c r="M5" s="1" t="s">
        <v>15</v>
      </c>
      <c r="N5" s="1" t="s">
        <v>16</v>
      </c>
      <c r="O5" s="1" t="s">
        <v>17</v>
      </c>
      <c r="P5" s="1" t="s">
        <v>18</v>
      </c>
      <c r="Q5" s="1" t="s">
        <v>19</v>
      </c>
    </row>
    <row r="6" spans="1:17" ht="24" customHeight="1" x14ac:dyDescent="0.25">
      <c r="A6" s="2" t="s">
        <v>20</v>
      </c>
      <c r="B6" s="3" t="s">
        <v>21</v>
      </c>
      <c r="C6" s="4" t="s">
        <v>22</v>
      </c>
      <c r="D6" s="3" t="s">
        <v>23</v>
      </c>
      <c r="E6" s="2" t="s">
        <v>24</v>
      </c>
      <c r="F6" s="5">
        <v>20</v>
      </c>
      <c r="G6" s="5">
        <v>40</v>
      </c>
      <c r="H6" s="5">
        <f t="shared" ref="H6:H20" si="0">F6*G6</f>
        <v>800</v>
      </c>
      <c r="I6" s="5">
        <f t="shared" ref="I6:I20" si="1">H6/10000</f>
        <v>0.08</v>
      </c>
      <c r="J6" s="6" t="s">
        <v>25</v>
      </c>
      <c r="K6" s="4" t="s">
        <v>26</v>
      </c>
      <c r="L6" s="3" t="s">
        <v>27</v>
      </c>
      <c r="M6" s="7" t="s">
        <v>28</v>
      </c>
      <c r="N6" s="5">
        <v>120000</v>
      </c>
      <c r="O6" s="5">
        <f t="shared" ref="O6:O20" si="2">N6*0.005</f>
        <v>600</v>
      </c>
      <c r="P6" s="2" t="s">
        <v>29</v>
      </c>
      <c r="Q6" s="2" t="s">
        <v>30</v>
      </c>
    </row>
    <row r="7" spans="1:17" ht="24" customHeight="1" x14ac:dyDescent="0.25">
      <c r="A7" s="8" t="s">
        <v>31</v>
      </c>
      <c r="B7" s="9" t="s">
        <v>32</v>
      </c>
      <c r="C7" s="10" t="s">
        <v>33</v>
      </c>
      <c r="D7" s="9" t="s">
        <v>34</v>
      </c>
      <c r="E7" s="8" t="s">
        <v>35</v>
      </c>
      <c r="F7" s="11">
        <v>12.5</v>
      </c>
      <c r="G7" s="11">
        <v>25</v>
      </c>
      <c r="H7" s="11">
        <f t="shared" si="0"/>
        <v>312.5</v>
      </c>
      <c r="I7" s="11">
        <f t="shared" si="1"/>
        <v>3.125E-2</v>
      </c>
      <c r="J7" s="12" t="s">
        <v>36</v>
      </c>
      <c r="K7" s="10" t="s">
        <v>37</v>
      </c>
      <c r="L7" s="9" t="s">
        <v>38</v>
      </c>
      <c r="M7" s="7" t="s">
        <v>28</v>
      </c>
      <c r="N7" s="11">
        <v>38500</v>
      </c>
      <c r="O7" s="11">
        <f t="shared" si="2"/>
        <v>192.5</v>
      </c>
      <c r="P7" s="8" t="s">
        <v>39</v>
      </c>
      <c r="Q7" s="8" t="s">
        <v>40</v>
      </c>
    </row>
    <row r="8" spans="1:17" ht="24" customHeight="1" x14ac:dyDescent="0.25">
      <c r="A8" s="2" t="s">
        <v>41</v>
      </c>
      <c r="B8" s="3" t="s">
        <v>42</v>
      </c>
      <c r="C8" s="4" t="s">
        <v>43</v>
      </c>
      <c r="D8" s="3" t="s">
        <v>44</v>
      </c>
      <c r="E8" s="2" t="s">
        <v>45</v>
      </c>
      <c r="F8" s="5">
        <v>50</v>
      </c>
      <c r="G8" s="5">
        <v>120</v>
      </c>
      <c r="H8" s="5">
        <f t="shared" si="0"/>
        <v>6000</v>
      </c>
      <c r="I8" s="5">
        <f t="shared" si="1"/>
        <v>0.6</v>
      </c>
      <c r="J8" s="6" t="s">
        <v>46</v>
      </c>
      <c r="K8" s="4" t="s">
        <v>47</v>
      </c>
      <c r="L8" s="3" t="s">
        <v>48</v>
      </c>
      <c r="M8" s="7" t="s">
        <v>28</v>
      </c>
      <c r="N8" s="5">
        <v>350000</v>
      </c>
      <c r="O8" s="5">
        <f t="shared" si="2"/>
        <v>1750</v>
      </c>
      <c r="P8" s="2" t="s">
        <v>49</v>
      </c>
      <c r="Q8" s="2" t="s">
        <v>30</v>
      </c>
    </row>
    <row r="9" spans="1:17" ht="24" customHeight="1" x14ac:dyDescent="0.25">
      <c r="A9" s="8" t="s">
        <v>50</v>
      </c>
      <c r="B9" s="9" t="s">
        <v>51</v>
      </c>
      <c r="C9" s="10" t="s">
        <v>52</v>
      </c>
      <c r="D9" s="9" t="s">
        <v>53</v>
      </c>
      <c r="E9" s="8" t="s">
        <v>54</v>
      </c>
      <c r="F9" s="11">
        <v>40</v>
      </c>
      <c r="G9" s="11">
        <v>60</v>
      </c>
      <c r="H9" s="11">
        <f t="shared" si="0"/>
        <v>2400</v>
      </c>
      <c r="I9" s="11">
        <f t="shared" si="1"/>
        <v>0.24</v>
      </c>
      <c r="J9" s="12" t="s">
        <v>55</v>
      </c>
      <c r="K9" s="10" t="s">
        <v>56</v>
      </c>
      <c r="L9" s="9" t="s">
        <v>57</v>
      </c>
      <c r="M9" s="13" t="s">
        <v>58</v>
      </c>
      <c r="N9" s="11">
        <v>95000</v>
      </c>
      <c r="O9" s="11">
        <f t="shared" si="2"/>
        <v>475</v>
      </c>
      <c r="P9" s="8" t="s">
        <v>59</v>
      </c>
      <c r="Q9" s="8" t="s">
        <v>60</v>
      </c>
    </row>
    <row r="10" spans="1:17" ht="24" customHeight="1" x14ac:dyDescent="0.25">
      <c r="A10" s="2" t="s">
        <v>61</v>
      </c>
      <c r="B10" s="3" t="s">
        <v>62</v>
      </c>
      <c r="C10" s="4" t="s">
        <v>63</v>
      </c>
      <c r="D10" s="3" t="s">
        <v>64</v>
      </c>
      <c r="E10" s="2" t="s">
        <v>65</v>
      </c>
      <c r="F10" s="5">
        <v>10</v>
      </c>
      <c r="G10" s="5">
        <v>30</v>
      </c>
      <c r="H10" s="5">
        <f t="shared" si="0"/>
        <v>300</v>
      </c>
      <c r="I10" s="5">
        <f t="shared" si="1"/>
        <v>0.03</v>
      </c>
      <c r="J10" s="6" t="s">
        <v>66</v>
      </c>
      <c r="K10" s="4" t="s">
        <v>67</v>
      </c>
      <c r="L10" s="3" t="s">
        <v>38</v>
      </c>
      <c r="M10" s="14" t="s">
        <v>68</v>
      </c>
      <c r="N10" s="5">
        <v>42000</v>
      </c>
      <c r="O10" s="5">
        <f t="shared" si="2"/>
        <v>210</v>
      </c>
      <c r="P10" s="2" t="s">
        <v>69</v>
      </c>
      <c r="Q10" s="2" t="s">
        <v>70</v>
      </c>
    </row>
    <row r="11" spans="1:17" ht="24" customHeight="1" x14ac:dyDescent="0.25">
      <c r="A11" s="8" t="s">
        <v>71</v>
      </c>
      <c r="B11" s="9" t="s">
        <v>21</v>
      </c>
      <c r="C11" s="10" t="s">
        <v>72</v>
      </c>
      <c r="D11" s="9" t="s">
        <v>73</v>
      </c>
      <c r="E11" s="8" t="s">
        <v>74</v>
      </c>
      <c r="F11" s="11">
        <v>15</v>
      </c>
      <c r="G11" s="11">
        <v>35</v>
      </c>
      <c r="H11" s="11">
        <f t="shared" si="0"/>
        <v>525</v>
      </c>
      <c r="I11" s="11">
        <f t="shared" si="1"/>
        <v>5.2499999999999998E-2</v>
      </c>
      <c r="J11" s="12" t="s">
        <v>75</v>
      </c>
      <c r="K11" s="10" t="s">
        <v>76</v>
      </c>
      <c r="L11" s="9" t="s">
        <v>27</v>
      </c>
      <c r="M11" s="7" t="s">
        <v>28</v>
      </c>
      <c r="N11" s="11">
        <v>185000</v>
      </c>
      <c r="O11" s="11">
        <f t="shared" si="2"/>
        <v>925</v>
      </c>
      <c r="P11" s="8" t="s">
        <v>77</v>
      </c>
      <c r="Q11" s="8" t="s">
        <v>30</v>
      </c>
    </row>
    <row r="12" spans="1:17" ht="24" customHeight="1" x14ac:dyDescent="0.25">
      <c r="A12" s="2" t="s">
        <v>78</v>
      </c>
      <c r="B12" s="3" t="s">
        <v>79</v>
      </c>
      <c r="C12" s="4" t="s">
        <v>80</v>
      </c>
      <c r="D12" s="3" t="s">
        <v>81</v>
      </c>
      <c r="E12" s="2" t="s">
        <v>82</v>
      </c>
      <c r="F12" s="5">
        <v>18</v>
      </c>
      <c r="G12" s="5">
        <v>40</v>
      </c>
      <c r="H12" s="5">
        <f t="shared" si="0"/>
        <v>720</v>
      </c>
      <c r="I12" s="5">
        <f t="shared" si="1"/>
        <v>7.1999999999999995E-2</v>
      </c>
      <c r="J12" s="6" t="s">
        <v>83</v>
      </c>
      <c r="K12" s="4" t="s">
        <v>84</v>
      </c>
      <c r="L12" s="3" t="s">
        <v>38</v>
      </c>
      <c r="M12" s="15" t="s">
        <v>85</v>
      </c>
      <c r="N12" s="5">
        <v>68000</v>
      </c>
      <c r="O12" s="5">
        <f t="shared" si="2"/>
        <v>340</v>
      </c>
      <c r="P12" s="2" t="s">
        <v>86</v>
      </c>
      <c r="Q12" s="2" t="s">
        <v>60</v>
      </c>
    </row>
    <row r="13" spans="1:17" ht="24" customHeight="1" x14ac:dyDescent="0.25">
      <c r="A13" s="8" t="s">
        <v>87</v>
      </c>
      <c r="B13" s="9" t="s">
        <v>42</v>
      </c>
      <c r="C13" s="10" t="s">
        <v>88</v>
      </c>
      <c r="D13" s="9" t="s">
        <v>89</v>
      </c>
      <c r="E13" s="8" t="s">
        <v>90</v>
      </c>
      <c r="F13" s="11">
        <v>60</v>
      </c>
      <c r="G13" s="11">
        <v>100</v>
      </c>
      <c r="H13" s="11">
        <f t="shared" si="0"/>
        <v>6000</v>
      </c>
      <c r="I13" s="11">
        <f t="shared" si="1"/>
        <v>0.6</v>
      </c>
      <c r="J13" s="12" t="s">
        <v>91</v>
      </c>
      <c r="K13" s="10" t="s">
        <v>92</v>
      </c>
      <c r="L13" s="9" t="s">
        <v>48</v>
      </c>
      <c r="M13" s="7" t="s">
        <v>28</v>
      </c>
      <c r="N13" s="11">
        <v>420000</v>
      </c>
      <c r="O13" s="11">
        <f t="shared" si="2"/>
        <v>2100</v>
      </c>
      <c r="P13" s="8" t="s">
        <v>93</v>
      </c>
      <c r="Q13" s="8" t="s">
        <v>40</v>
      </c>
    </row>
    <row r="14" spans="1:17" ht="24" customHeight="1" x14ac:dyDescent="0.25">
      <c r="A14" s="2" t="s">
        <v>94</v>
      </c>
      <c r="B14" s="3" t="s">
        <v>95</v>
      </c>
      <c r="C14" s="4" t="s">
        <v>96</v>
      </c>
      <c r="D14" s="3" t="s">
        <v>97</v>
      </c>
      <c r="E14" s="2" t="s">
        <v>98</v>
      </c>
      <c r="F14" s="5">
        <v>15</v>
      </c>
      <c r="G14" s="5">
        <v>30</v>
      </c>
      <c r="H14" s="5">
        <f t="shared" si="0"/>
        <v>450</v>
      </c>
      <c r="I14" s="5">
        <f t="shared" si="1"/>
        <v>4.4999999999999998E-2</v>
      </c>
      <c r="J14" s="6" t="s">
        <v>99</v>
      </c>
      <c r="K14" s="4" t="s">
        <v>100</v>
      </c>
      <c r="L14" s="3" t="s">
        <v>38</v>
      </c>
      <c r="M14" s="7" t="s">
        <v>28</v>
      </c>
      <c r="N14" s="5">
        <v>89000</v>
      </c>
      <c r="O14" s="5">
        <f t="shared" si="2"/>
        <v>445</v>
      </c>
      <c r="P14" s="2" t="s">
        <v>101</v>
      </c>
      <c r="Q14" s="2" t="s">
        <v>30</v>
      </c>
    </row>
    <row r="15" spans="1:17" ht="24" customHeight="1" x14ac:dyDescent="0.25">
      <c r="A15" s="8" t="s">
        <v>102</v>
      </c>
      <c r="B15" s="9" t="s">
        <v>32</v>
      </c>
      <c r="C15" s="10" t="s">
        <v>103</v>
      </c>
      <c r="D15" s="9" t="s">
        <v>104</v>
      </c>
      <c r="E15" s="8" t="s">
        <v>105</v>
      </c>
      <c r="F15" s="11">
        <v>8.5</v>
      </c>
      <c r="G15" s="11">
        <v>20</v>
      </c>
      <c r="H15" s="11">
        <f t="shared" si="0"/>
        <v>170</v>
      </c>
      <c r="I15" s="11">
        <f t="shared" si="1"/>
        <v>1.7000000000000001E-2</v>
      </c>
      <c r="J15" s="12" t="s">
        <v>106</v>
      </c>
      <c r="K15" s="10" t="s">
        <v>107</v>
      </c>
      <c r="L15" s="9" t="s">
        <v>38</v>
      </c>
      <c r="M15" s="14" t="s">
        <v>68</v>
      </c>
      <c r="N15" s="11">
        <v>24000</v>
      </c>
      <c r="O15" s="11">
        <f t="shared" si="2"/>
        <v>120</v>
      </c>
      <c r="P15" s="8" t="s">
        <v>108</v>
      </c>
      <c r="Q15" s="8" t="s">
        <v>70</v>
      </c>
    </row>
    <row r="16" spans="1:17" ht="24" customHeight="1" x14ac:dyDescent="0.25">
      <c r="A16" s="2" t="s">
        <v>109</v>
      </c>
      <c r="B16" s="3" t="s">
        <v>110</v>
      </c>
      <c r="C16" s="4" t="s">
        <v>111</v>
      </c>
      <c r="D16" s="3" t="s">
        <v>112</v>
      </c>
      <c r="E16" s="2" t="s">
        <v>113</v>
      </c>
      <c r="F16" s="5">
        <v>150</v>
      </c>
      <c r="G16" s="5">
        <v>300</v>
      </c>
      <c r="H16" s="5">
        <f t="shared" si="0"/>
        <v>45000</v>
      </c>
      <c r="I16" s="5">
        <f t="shared" si="1"/>
        <v>4.5</v>
      </c>
      <c r="J16" s="6" t="s">
        <v>114</v>
      </c>
      <c r="K16" s="4" t="s">
        <v>115</v>
      </c>
      <c r="L16" s="3" t="s">
        <v>110</v>
      </c>
      <c r="M16" s="13" t="s">
        <v>58</v>
      </c>
      <c r="N16" s="5">
        <v>150000</v>
      </c>
      <c r="O16" s="5">
        <f t="shared" si="2"/>
        <v>750</v>
      </c>
      <c r="P16" s="2" t="s">
        <v>116</v>
      </c>
      <c r="Q16" s="2" t="s">
        <v>60</v>
      </c>
    </row>
    <row r="17" spans="1:17" ht="24" customHeight="1" x14ac:dyDescent="0.25">
      <c r="A17" s="8" t="s">
        <v>117</v>
      </c>
      <c r="B17" s="9" t="s">
        <v>21</v>
      </c>
      <c r="C17" s="10" t="s">
        <v>118</v>
      </c>
      <c r="D17" s="9" t="s">
        <v>119</v>
      </c>
      <c r="E17" s="8" t="s">
        <v>120</v>
      </c>
      <c r="F17" s="11">
        <v>25</v>
      </c>
      <c r="G17" s="11">
        <v>50</v>
      </c>
      <c r="H17" s="11">
        <f t="shared" si="0"/>
        <v>1250</v>
      </c>
      <c r="I17" s="11">
        <f t="shared" si="1"/>
        <v>0.125</v>
      </c>
      <c r="J17" s="12" t="s">
        <v>121</v>
      </c>
      <c r="K17" s="10" t="s">
        <v>122</v>
      </c>
      <c r="L17" s="9" t="s">
        <v>27</v>
      </c>
      <c r="M17" s="7" t="s">
        <v>28</v>
      </c>
      <c r="N17" s="11">
        <v>310000</v>
      </c>
      <c r="O17" s="11">
        <f t="shared" si="2"/>
        <v>1550</v>
      </c>
      <c r="P17" s="8" t="s">
        <v>123</v>
      </c>
      <c r="Q17" s="8" t="s">
        <v>30</v>
      </c>
    </row>
    <row r="18" spans="1:17" ht="24" customHeight="1" x14ac:dyDescent="0.25">
      <c r="A18" s="2" t="s">
        <v>124</v>
      </c>
      <c r="B18" s="3" t="s">
        <v>62</v>
      </c>
      <c r="C18" s="4" t="s">
        <v>125</v>
      </c>
      <c r="D18" s="3" t="s">
        <v>126</v>
      </c>
      <c r="E18" s="2" t="s">
        <v>127</v>
      </c>
      <c r="F18" s="5">
        <v>80</v>
      </c>
      <c r="G18" s="5">
        <v>100</v>
      </c>
      <c r="H18" s="5">
        <f t="shared" si="0"/>
        <v>8000</v>
      </c>
      <c r="I18" s="5">
        <f t="shared" si="1"/>
        <v>0.8</v>
      </c>
      <c r="J18" s="6" t="s">
        <v>128</v>
      </c>
      <c r="K18" s="4" t="s">
        <v>129</v>
      </c>
      <c r="L18" s="3" t="s">
        <v>57</v>
      </c>
      <c r="M18" s="7" t="s">
        <v>28</v>
      </c>
      <c r="N18" s="5">
        <v>520000</v>
      </c>
      <c r="O18" s="5">
        <f t="shared" si="2"/>
        <v>2600</v>
      </c>
      <c r="P18" s="2" t="s">
        <v>130</v>
      </c>
      <c r="Q18" s="2" t="s">
        <v>40</v>
      </c>
    </row>
    <row r="19" spans="1:17" ht="24" customHeight="1" x14ac:dyDescent="0.25">
      <c r="A19" s="8" t="s">
        <v>131</v>
      </c>
      <c r="B19" s="9" t="s">
        <v>79</v>
      </c>
      <c r="C19" s="10" t="s">
        <v>132</v>
      </c>
      <c r="D19" s="9" t="s">
        <v>133</v>
      </c>
      <c r="E19" s="8" t="s">
        <v>134</v>
      </c>
      <c r="F19" s="11">
        <v>35</v>
      </c>
      <c r="G19" s="11">
        <v>70</v>
      </c>
      <c r="H19" s="11">
        <f t="shared" si="0"/>
        <v>2450</v>
      </c>
      <c r="I19" s="11">
        <f t="shared" si="1"/>
        <v>0.245</v>
      </c>
      <c r="J19" s="12" t="s">
        <v>135</v>
      </c>
      <c r="K19" s="10" t="s">
        <v>136</v>
      </c>
      <c r="L19" s="9" t="s">
        <v>137</v>
      </c>
      <c r="M19" s="9" t="s">
        <v>138</v>
      </c>
      <c r="N19" s="11">
        <v>45000</v>
      </c>
      <c r="O19" s="11">
        <f t="shared" si="2"/>
        <v>225</v>
      </c>
      <c r="P19" s="8" t="s">
        <v>139</v>
      </c>
      <c r="Q19" s="8" t="s">
        <v>60</v>
      </c>
    </row>
    <row r="20" spans="1:17" ht="24" customHeight="1" x14ac:dyDescent="0.25">
      <c r="A20" s="2" t="s">
        <v>140</v>
      </c>
      <c r="B20" s="3" t="s">
        <v>51</v>
      </c>
      <c r="C20" s="4" t="s">
        <v>141</v>
      </c>
      <c r="D20" s="3" t="s">
        <v>142</v>
      </c>
      <c r="E20" s="2" t="s">
        <v>143</v>
      </c>
      <c r="F20" s="5">
        <v>14</v>
      </c>
      <c r="G20" s="5">
        <v>28</v>
      </c>
      <c r="H20" s="5">
        <f t="shared" si="0"/>
        <v>392</v>
      </c>
      <c r="I20" s="5">
        <f t="shared" si="1"/>
        <v>3.9199999999999999E-2</v>
      </c>
      <c r="J20" s="6" t="s">
        <v>144</v>
      </c>
      <c r="K20" s="4" t="s">
        <v>145</v>
      </c>
      <c r="L20" s="3" t="s">
        <v>38</v>
      </c>
      <c r="M20" s="7" t="s">
        <v>28</v>
      </c>
      <c r="N20" s="5">
        <v>58000</v>
      </c>
      <c r="O20" s="5">
        <f t="shared" si="2"/>
        <v>290</v>
      </c>
      <c r="P20" s="2" t="s">
        <v>146</v>
      </c>
      <c r="Q20" s="2" t="s">
        <v>70</v>
      </c>
    </row>
    <row r="21" spans="1:17" ht="27.95" customHeight="1" x14ac:dyDescent="0.25">
      <c r="A21" s="26" t="s">
        <v>147</v>
      </c>
      <c r="B21" s="26"/>
      <c r="C21" s="26"/>
      <c r="D21" s="26"/>
      <c r="E21" s="26"/>
      <c r="F21" s="26"/>
      <c r="G21" s="26"/>
      <c r="H21" s="16">
        <f>SUM(H6:H20)</f>
        <v>74769.5</v>
      </c>
      <c r="I21" s="16">
        <f>SUM(I6:I20)</f>
        <v>7.4769499999999995</v>
      </c>
      <c r="J21" s="17"/>
      <c r="K21" s="17"/>
      <c r="L21" s="17"/>
      <c r="M21" s="17"/>
      <c r="N21" s="16">
        <f>SUM(N6:N20)</f>
        <v>2514500</v>
      </c>
      <c r="O21" s="16">
        <f>SUM(O6:O20)</f>
        <v>12572.5</v>
      </c>
      <c r="P21" s="17"/>
      <c r="Q21" s="17"/>
    </row>
  </sheetData>
  <autoFilter ref="A5:Q5" xr:uid="{00000000-0009-0000-0000-000000000000}"/>
  <mergeCells count="4">
    <mergeCell ref="A1:Q1"/>
    <mergeCell ref="A2:Q2"/>
    <mergeCell ref="A3:Q3"/>
    <mergeCell ref="A21:G21"/>
  </mergeCells>
  <hyperlinks>
    <hyperlink ref="J6" r:id="rId1" tooltip="Abrir ubicación en Google Maps" xr:uid="{00000000-0004-0000-0000-000000000000}"/>
    <hyperlink ref="J7" r:id="rId2" tooltip="Abrir ubicación en Google Maps" xr:uid="{00000000-0004-0000-0000-000001000000}"/>
    <hyperlink ref="J8" r:id="rId3" tooltip="Abrir ubicación en Google Maps" xr:uid="{00000000-0004-0000-0000-000002000000}"/>
    <hyperlink ref="J9" r:id="rId4" tooltip="Abrir ubicación en Google Maps" xr:uid="{00000000-0004-0000-0000-000003000000}"/>
    <hyperlink ref="J10" r:id="rId5" tooltip="Abrir ubicación en Google Maps" xr:uid="{00000000-0004-0000-0000-000004000000}"/>
    <hyperlink ref="J11" r:id="rId6" tooltip="Abrir ubicación en Google Maps" xr:uid="{00000000-0004-0000-0000-000005000000}"/>
    <hyperlink ref="J12" r:id="rId7" tooltip="Abrir ubicación en Google Maps" xr:uid="{00000000-0004-0000-0000-000006000000}"/>
    <hyperlink ref="J13" r:id="rId8" tooltip="Abrir ubicación en Google Maps" xr:uid="{00000000-0004-0000-0000-000007000000}"/>
    <hyperlink ref="J14" r:id="rId9" tooltip="Abrir ubicación en Google Maps" xr:uid="{00000000-0004-0000-0000-000008000000}"/>
    <hyperlink ref="J15" r:id="rId10" tooltip="Abrir ubicación en Google Maps" xr:uid="{00000000-0004-0000-0000-000009000000}"/>
    <hyperlink ref="J16" r:id="rId11" tooltip="Abrir ubicación en Google Maps" xr:uid="{00000000-0004-0000-0000-00000A000000}"/>
    <hyperlink ref="J17" r:id="rId12" tooltip="Abrir ubicación en Google Maps" xr:uid="{00000000-0004-0000-0000-00000B000000}"/>
    <hyperlink ref="J18" r:id="rId13" tooltip="Abrir ubicación en Google Maps" xr:uid="{00000000-0004-0000-0000-00000C000000}"/>
    <hyperlink ref="J19" r:id="rId14" tooltip="Abrir ubicación en Google Maps" xr:uid="{00000000-0004-0000-0000-00000D000000}"/>
    <hyperlink ref="J20" r:id="rId15" tooltip="Abrir ubicación en Google Maps" xr:uid="{00000000-0004-0000-0000-00000E000000}"/>
  </hyperlink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"/>
  <sheetViews>
    <sheetView workbookViewId="0">
      <pane ySplit="3" topLeftCell="A4" activePane="bottomLeft" state="frozen"/>
      <selection pane="bottomLeft" sqref="A1:F1"/>
    </sheetView>
  </sheetViews>
  <sheetFormatPr baseColWidth="10" defaultColWidth="9.140625" defaultRowHeight="15" x14ac:dyDescent="0.25"/>
  <cols>
    <col min="1" max="1" width="18" customWidth="1"/>
    <col min="2" max="2" width="26" customWidth="1"/>
    <col min="3" max="3" width="32" customWidth="1"/>
    <col min="4" max="4" width="22" customWidth="1"/>
    <col min="5" max="5" width="14" customWidth="1"/>
    <col min="6" max="6" width="34" customWidth="1"/>
  </cols>
  <sheetData>
    <row r="1" spans="1:6" ht="32.1" customHeight="1" x14ac:dyDescent="0.25">
      <c r="A1" s="27" t="s">
        <v>148</v>
      </c>
      <c r="B1" s="27"/>
      <c r="C1" s="27"/>
      <c r="D1" s="27"/>
      <c r="E1" s="27"/>
      <c r="F1" s="27"/>
    </row>
    <row r="2" spans="1:6" ht="21.95" customHeight="1" x14ac:dyDescent="0.25">
      <c r="A2" s="28" t="s">
        <v>149</v>
      </c>
      <c r="B2" s="28"/>
      <c r="C2" s="28"/>
      <c r="D2" s="28"/>
      <c r="E2" s="28"/>
      <c r="F2" s="28"/>
    </row>
    <row r="3" spans="1:6" ht="26.1" customHeight="1" x14ac:dyDescent="0.25">
      <c r="A3" s="18" t="s">
        <v>150</v>
      </c>
      <c r="B3" s="18" t="s">
        <v>151</v>
      </c>
      <c r="C3" s="18" t="s">
        <v>152</v>
      </c>
      <c r="D3" s="18" t="s">
        <v>153</v>
      </c>
      <c r="E3" s="18" t="s">
        <v>154</v>
      </c>
      <c r="F3" s="18" t="s">
        <v>155</v>
      </c>
    </row>
    <row r="4" spans="1:6" ht="24" customHeight="1" x14ac:dyDescent="0.25">
      <c r="A4" s="19" t="s">
        <v>30</v>
      </c>
      <c r="B4" s="20" t="s">
        <v>156</v>
      </c>
      <c r="C4" s="20" t="s">
        <v>157</v>
      </c>
      <c r="D4" s="21" t="s">
        <v>158</v>
      </c>
      <c r="E4" s="19" t="s">
        <v>159</v>
      </c>
      <c r="F4" s="20" t="s">
        <v>160</v>
      </c>
    </row>
    <row r="5" spans="1:6" ht="24" customHeight="1" x14ac:dyDescent="0.25">
      <c r="A5" s="19" t="s">
        <v>60</v>
      </c>
      <c r="B5" s="20" t="s">
        <v>161</v>
      </c>
      <c r="C5" s="20" t="s">
        <v>162</v>
      </c>
      <c r="D5" s="21" t="s">
        <v>163</v>
      </c>
      <c r="E5" s="19" t="s">
        <v>159</v>
      </c>
      <c r="F5" s="20" t="s">
        <v>164</v>
      </c>
    </row>
    <row r="6" spans="1:6" ht="24" customHeight="1" x14ac:dyDescent="0.25">
      <c r="A6" s="19" t="s">
        <v>40</v>
      </c>
      <c r="B6" s="20" t="s">
        <v>165</v>
      </c>
      <c r="C6" s="20" t="s">
        <v>166</v>
      </c>
      <c r="D6" s="21" t="s">
        <v>167</v>
      </c>
      <c r="E6" s="19" t="s">
        <v>159</v>
      </c>
      <c r="F6" s="20" t="s">
        <v>168</v>
      </c>
    </row>
    <row r="7" spans="1:6" ht="24" customHeight="1" x14ac:dyDescent="0.25">
      <c r="A7" s="19" t="s">
        <v>70</v>
      </c>
      <c r="B7" s="20" t="s">
        <v>169</v>
      </c>
      <c r="C7" s="20" t="s">
        <v>170</v>
      </c>
      <c r="D7" s="21" t="s">
        <v>171</v>
      </c>
      <c r="E7" s="19" t="s">
        <v>159</v>
      </c>
      <c r="F7" s="20" t="s">
        <v>168</v>
      </c>
    </row>
  </sheetData>
  <mergeCells count="2">
    <mergeCell ref="A1:F1"/>
    <mergeCell ref="A2:F2"/>
  </mergeCells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"/>
  <sheetViews>
    <sheetView workbookViewId="0">
      <selection sqref="A1:D1"/>
    </sheetView>
  </sheetViews>
  <sheetFormatPr baseColWidth="10" defaultColWidth="9.140625" defaultRowHeight="15" x14ac:dyDescent="0.25"/>
  <cols>
    <col min="1" max="1" width="30" customWidth="1"/>
    <col min="2" max="2" width="15" customWidth="1"/>
    <col min="3" max="3" width="25" customWidth="1"/>
  </cols>
  <sheetData>
    <row r="1" spans="1:4" ht="32.1" customHeight="1" x14ac:dyDescent="0.25">
      <c r="A1" s="27" t="s">
        <v>172</v>
      </c>
      <c r="B1" s="27"/>
      <c r="C1" s="27"/>
      <c r="D1" s="27"/>
    </row>
    <row r="3" spans="1:4" ht="24" customHeight="1" x14ac:dyDescent="0.25">
      <c r="A3" s="29" t="s">
        <v>173</v>
      </c>
      <c r="B3" s="29"/>
      <c r="C3" s="22">
        <f>COUNTA('1. Registro de Terrenos'!A6:A20)</f>
        <v>15</v>
      </c>
    </row>
    <row r="4" spans="1:4" ht="24" customHeight="1" x14ac:dyDescent="0.25">
      <c r="A4" s="29" t="s">
        <v>174</v>
      </c>
      <c r="B4" s="29"/>
      <c r="C4" s="22">
        <f>SUM('1. Registro de Terrenos'!H6:H20)</f>
        <v>74769.5</v>
      </c>
    </row>
    <row r="5" spans="1:4" ht="24" customHeight="1" x14ac:dyDescent="0.25">
      <c r="A5" s="29" t="s">
        <v>175</v>
      </c>
      <c r="B5" s="29"/>
      <c r="C5" s="22">
        <f>SUM('1. Registro de Terrenos'!I6:I20)</f>
        <v>7.4769499999999995</v>
      </c>
    </row>
    <row r="6" spans="1:4" ht="24" customHeight="1" x14ac:dyDescent="0.25">
      <c r="A6" s="29" t="s">
        <v>176</v>
      </c>
      <c r="B6" s="29"/>
      <c r="C6" s="22">
        <f>SUM('1. Registro de Terrenos'!N6:N20)</f>
        <v>2514500</v>
      </c>
    </row>
    <row r="7" spans="1:4" ht="24" customHeight="1" x14ac:dyDescent="0.25">
      <c r="A7" s="29" t="s">
        <v>177</v>
      </c>
      <c r="B7" s="29"/>
      <c r="C7" s="22">
        <f>SUM('1. Registro de Terrenos'!O6:O20)</f>
        <v>12572.5</v>
      </c>
    </row>
  </sheetData>
  <mergeCells count="6">
    <mergeCell ref="A7:B7"/>
    <mergeCell ref="A1:D1"/>
    <mergeCell ref="A3:B3"/>
    <mergeCell ref="A4:B4"/>
    <mergeCell ref="A5:B5"/>
    <mergeCell ref="A6:B6"/>
  </mergeCell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1. Registro de Terrenos</vt:lpstr>
      <vt:lpstr>2. Control de Usuarios y Claves</vt:lpstr>
      <vt:lpstr>3. Resumen y Estadísticas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2026-07-26T22:26:25Z</dcterms:created>
  <dcterms:modified xsi:type="dcterms:W3CDTF">2026-07-26T22:36:32Z</dcterms:modified>
  <cp:category/>
</cp:coreProperties>
</file>