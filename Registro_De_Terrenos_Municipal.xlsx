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gistro de Terrenos" state="visible" r:id="rId4"/>
    <sheet sheetId="2" name="2. Control de Usuarios y Claves" state="visible" r:id="rId5"/>
    <sheet sheetId="3" name="3. Resumen y Estadísticas" state="visible" r:id="rId6"/>
  </sheets>
  <calcPr calcId="171027"/>
</workbook>
</file>

<file path=xl/sharedStrings.xml><?xml version="1.0" encoding="utf-8"?>
<sst xmlns="http://schemas.openxmlformats.org/spreadsheetml/2006/main" count="92" uniqueCount="80">
  <si>
    <t>SISTEMA UNIFICADO DE REGISTRO CATASTRAL DE TERRENOS MUNICIPALES</t>
  </si>
  <si>
    <t>Base de Datos Oficial para Gestión Territorial y Colaboración en GitHub (Acceso Restringido - 4 Usuarios Autorizados)</t>
  </si>
  <si>
    <t>📌 NOTA: Cabecera inmovilizada. Fórmulas activas. Última actualización del registro: 27/7/2026, 17:24:56</t>
  </si>
  <si>
    <t>Código Catastral</t>
  </si>
  <si>
    <t>Zona / Barrio</t>
  </si>
  <si>
    <t>Dirección Exacta</t>
  </si>
  <si>
    <t>Propietario / Titular</t>
  </si>
  <si>
    <t>Documento ID / RUC</t>
  </si>
  <si>
    <t>Frente (m)</t>
  </si>
  <si>
    <t>Fondo (m)</t>
  </si>
  <si>
    <t>Superficie (m²)</t>
  </si>
  <si>
    <t>Superficie (Ha)</t>
  </si>
  <si>
    <t>Coordenadas GPS (Lat, Lng)</t>
  </si>
  <si>
    <t>Límites y Linderos</t>
  </si>
  <si>
    <t>Finalidad / Uso de Suelo</t>
  </si>
  <si>
    <t>Estatus Legal</t>
  </si>
  <si>
    <t>Valor Catastral ($)</t>
  </si>
  <si>
    <t>Impuesto Anual ($)</t>
  </si>
  <si>
    <t>Fecha Registro</t>
  </si>
  <si>
    <t>Usuario Registrador</t>
  </si>
  <si>
    <t>CAT-2026-03</t>
  </si>
  <si>
    <t>Centro Histórico</t>
  </si>
  <si>
    <t>Carrera 5 entre calles 1 y 2</t>
  </si>
  <si>
    <t>Mario Superlano</t>
  </si>
  <si>
    <t>11789654</t>
  </si>
  <si>
    <t>-12.02578899 -77.024877</t>
  </si>
  <si>
    <t>Norte: calle2, Sur Calle 1, Este Carrera 6, Oeste Carrera7</t>
  </si>
  <si>
    <t>Residencial</t>
  </si>
  <si>
    <t>Titulado</t>
  </si>
  <si>
    <t>2026-07-27</t>
  </si>
  <si>
    <t>USR-CAT-01</t>
  </si>
  <si>
    <t>CAT-2026-001</t>
  </si>
  <si>
    <t>Av. Bolívar #450 entre Calle 4 y 5</t>
  </si>
  <si>
    <t>Constructora Urbana S.A.</t>
  </si>
  <si>
    <t>J-30948271-0</t>
  </si>
  <si>
    <t>-12.04637, -77.04279</t>
  </si>
  <si>
    <t>N: Av. Bolívar / S: Lote 12</t>
  </si>
  <si>
    <t>Comercial</t>
  </si>
  <si>
    <t>2026-01-15</t>
  </si>
  <si>
    <t>CAT-2026-NUEVO</t>
  </si>
  <si>
    <t>San Martín</t>
  </si>
  <si>
    <t>Calle Nueva #100</t>
  </si>
  <si>
    <t>Carlos Alberto Nuevo</t>
  </si>
  <si>
    <t>0801199988776</t>
  </si>
  <si>
    <t>-12.0500, -77.0400</t>
  </si>
  <si>
    <t>N: Calle Nueva / S: Lote 2</t>
  </si>
  <si>
    <t>TOTALES GENERALES</t>
  </si>
  <si>
    <t>REGISTRO DE USUARIOS AUTORIZADOS Y CLAVES DE ACCESO CATASTRAL (MÁX. 4 PERSONAS)</t>
  </si>
  <si>
    <t>🔒 Solo las 4 personas registradas poseen credenciales para editar y firmar commits en GitHub</t>
  </si>
  <si>
    <t>ID Usuario</t>
  </si>
  <si>
    <t>Nombre Completo</t>
  </si>
  <si>
    <t>Rol / Cargo Catastral</t>
  </si>
  <si>
    <t>Clave de Acceso / PIN</t>
  </si>
  <si>
    <t>Estado</t>
  </si>
  <si>
    <t>Nivel Permisos</t>
  </si>
  <si>
    <t>Ing. Roberto Gómez</t>
  </si>
  <si>
    <t>Director de Catastro Municipal</t>
  </si>
  <si>
    <t>CAT-9821-KEY</t>
  </si>
  <si>
    <t>Activo</t>
  </si>
  <si>
    <t>Administrador Total (Read/Write/Commit)</t>
  </si>
  <si>
    <t>USR-JUR-02</t>
  </si>
  <si>
    <t>Dra. Elena Rostova</t>
  </si>
  <si>
    <t>Asesora Jurídica &amp; Estatus Legal</t>
  </si>
  <si>
    <t>JUR-4410-KEY</t>
  </si>
  <si>
    <t>Edición Estatus &amp; Legales</t>
  </si>
  <si>
    <t>USR-INS-03</t>
  </si>
  <si>
    <t>Arq. Carlos Mendoza</t>
  </si>
  <si>
    <t>Inspector Zonal 1 (Norte &amp; Centro)</t>
  </si>
  <si>
    <t>INS-7732-KEY</t>
  </si>
  <si>
    <t>Registro &amp; Medición de Campo</t>
  </si>
  <si>
    <t>USR-INS-04</t>
  </si>
  <si>
    <t>Lic. Sofía Benítez</t>
  </si>
  <si>
    <t>Inspectora Zonal 2 (Sur &amp; Este)</t>
  </si>
  <si>
    <t>INS-3109-KEY</t>
  </si>
  <si>
    <t>RESUMEN EJECUTIVO DEL REGISTRO DE TERRENOS</t>
  </si>
  <si>
    <t>Total Predios Registrados</t>
  </si>
  <si>
    <t>Superficie Total Registrada (m²)</t>
  </si>
  <si>
    <t>Superficie Total Registrada (Hectáreas)</t>
  </si>
  <si>
    <t>Valor Catastral Total del Suelo ($)</t>
  </si>
  <si>
    <t>Recaudación Impuesto Anual Estimada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</si>
</sst>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94A3B8"/>
      <sz val="10"/>
      <name val="Segoe UI"/>
    </font>
    <font>
      <b/>
      <color rgb="0369A1"/>
      <sz val="9"/>
      <name val="Segoe UI"/>
    </font>
    <font>
      <b/>
      <color rgb="FFFFFF"/>
      <sz val="11"/>
      <name val="Segoe UI"/>
    </font>
    <font>
      <color rgb="1E293B"/>
      <sz val="10"/>
      <name val="Segoe UI"/>
    </font>
    <font>
      <u/>
      <color rgb="0284C7"/>
      <sz val="10"/>
      <name val="Segoe UI"/>
    </font>
    <font>
      <b/>
      <color rgb="166534"/>
      <sz val="10"/>
      <name val="Segoe UI"/>
    </font>
    <font>
      <b/>
      <color rgb="FFFFFF"/>
      <sz val="14"/>
      <name val="Segoe UI"/>
    </font>
    <font>
      <i/>
      <color rgb="DC2626"/>
      <sz val="10"/>
      <name val="Segoe UI"/>
    </font>
    <font>
      <b/>
      <color rgb="0369A1"/>
      <sz val="11"/>
      <name val="Consolas"/>
    </font>
    <font>
      <b/>
      <color rgb="1E293B"/>
      <sz val="11"/>
      <name val="Segoe UI"/>
    </font>
    <font>
      <b/>
      <color rgb="0F172A"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E0F2FE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0F9FF"/>
      </patternFill>
    </fill>
    <fill>
      <patternFill patternType="solid">
        <fgColor rgb="F1F5F9"/>
      </patternFill>
    </fill>
    <fill>
      <patternFill patternType="solid">
        <fgColor rgb="E2E8F0"/>
      </patternFill>
    </fill>
  </fills>
  <borders count="4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indent="1"/>
    </xf>
    <xf numFmtId="0" fontId="4" fillId="2" borderId="0" xfId="0" applyFont="1" applyFill="1" applyAlignment="1">
      <alignment horizontal="right" vertical="center"/>
    </xf>
    <xf numFmtId="0" fontId="0" fillId="2" borderId="0" xfId="0" applyFill="1"/>
    <xf numFmtId="0" fontId="8" fillId="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10" fillId="9" borderId="3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left" vertical="center" indent="1"/>
    </xf>
    <xf numFmtId="0" fontId="12" fillId="11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-12.02578899%20-77.024877" TargetMode="External"/><Relationship Id="rId2" Type="http://schemas.openxmlformats.org/officeDocument/2006/relationships/hyperlink" Target="https://www.google.com/maps/search/?api=1&amp;query=-12.04637%2C%20-77.04279" TargetMode="External"/><Relationship Id="rId3" Type="http://schemas.openxmlformats.org/officeDocument/2006/relationships/hyperlink" Target="https://www.google.com/maps/search/?api=1&amp;query=-12.0500%2C%20-77.0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4" customWidth="1"/>
    <col min="4" max="4" width="28" customWidth="1"/>
    <col min="5" max="5" width="18" customWidth="1"/>
    <col min="6" max="7" width="14" customWidth="1"/>
    <col min="8" max="8" width="18" customWidth="1"/>
    <col min="9" max="9" width="16" customWidth="1"/>
    <col min="10" max="10" width="24" customWidth="1"/>
    <col min="11" max="11" width="38" customWidth="1"/>
    <col min="12" max="12" width="22" customWidth="1"/>
    <col min="13" max="13" width="18" customWidth="1"/>
    <col min="14" max="15" width="20" customWidth="1"/>
    <col min="16" max="16" width="16" customWidth="1"/>
    <col min="17" max="17" width="20" customWidth="1"/>
  </cols>
  <sheetData>
    <row r="1" ht="3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0" customHeight="1" spans="1:1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8" customHeight="1" x14ac:dyDescent="0.25"/>
    <row r="5" ht="30" customHeight="1" spans="1:1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</row>
    <row r="6" ht="24" customHeight="1" spans="1:17" x14ac:dyDescent="0.25">
      <c r="A6" s="5" t="s">
        <v>20</v>
      </c>
      <c r="B6" s="6" t="s">
        <v>21</v>
      </c>
      <c r="C6" s="7" t="s">
        <v>22</v>
      </c>
      <c r="D6" s="6" t="s">
        <v>23</v>
      </c>
      <c r="E6" s="5" t="s">
        <v>24</v>
      </c>
      <c r="F6" s="8">
        <v>18</v>
      </c>
      <c r="G6" s="8">
        <v>45</v>
      </c>
      <c r="H6" s="8">
        <f>F6*G6</f>
      </c>
      <c r="I6" s="8">
        <f>H6/10000</f>
      </c>
      <c r="J6" s="9" t="s">
        <v>25</v>
      </c>
      <c r="K6" s="7" t="s">
        <v>26</v>
      </c>
      <c r="L6" s="6" t="s">
        <v>27</v>
      </c>
      <c r="M6" s="10" t="s">
        <v>28</v>
      </c>
      <c r="N6" s="8">
        <v>24000</v>
      </c>
      <c r="O6" s="8">
        <f>N6*0.005</f>
      </c>
      <c r="P6" s="5" t="s">
        <v>29</v>
      </c>
      <c r="Q6" s="5" t="s">
        <v>30</v>
      </c>
    </row>
    <row r="7" ht="24" customHeight="1" spans="1:17" x14ac:dyDescent="0.25">
      <c r="A7" s="11" t="s">
        <v>31</v>
      </c>
      <c r="B7" s="12" t="s">
        <v>21</v>
      </c>
      <c r="C7" s="13" t="s">
        <v>32</v>
      </c>
      <c r="D7" s="12" t="s">
        <v>33</v>
      </c>
      <c r="E7" s="11" t="s">
        <v>34</v>
      </c>
      <c r="F7" s="14">
        <v>20</v>
      </c>
      <c r="G7" s="14">
        <v>40</v>
      </c>
      <c r="H7" s="14">
        <f>F7*G7</f>
      </c>
      <c r="I7" s="14">
        <f>H7/10000</f>
      </c>
      <c r="J7" s="15" t="s">
        <v>35</v>
      </c>
      <c r="K7" s="13" t="s">
        <v>36</v>
      </c>
      <c r="L7" s="12" t="s">
        <v>37</v>
      </c>
      <c r="M7" s="10" t="s">
        <v>28</v>
      </c>
      <c r="N7" s="14">
        <v>120000</v>
      </c>
      <c r="O7" s="14">
        <f>N7*0.005</f>
      </c>
      <c r="P7" s="11" t="s">
        <v>38</v>
      </c>
      <c r="Q7" s="11" t="s">
        <v>30</v>
      </c>
    </row>
    <row r="8" ht="24" customHeight="1" spans="1:17" x14ac:dyDescent="0.25">
      <c r="A8" s="5" t="s">
        <v>39</v>
      </c>
      <c r="B8" s="6" t="s">
        <v>40</v>
      </c>
      <c r="C8" s="7" t="s">
        <v>41</v>
      </c>
      <c r="D8" s="6" t="s">
        <v>42</v>
      </c>
      <c r="E8" s="5" t="s">
        <v>43</v>
      </c>
      <c r="F8" s="8">
        <v>15</v>
      </c>
      <c r="G8" s="8">
        <v>30</v>
      </c>
      <c r="H8" s="8">
        <f>F8*G8</f>
      </c>
      <c r="I8" s="8">
        <f>H8/10000</f>
      </c>
      <c r="J8" s="9" t="s">
        <v>44</v>
      </c>
      <c r="K8" s="7" t="s">
        <v>45</v>
      </c>
      <c r="L8" s="6" t="s">
        <v>27</v>
      </c>
      <c r="M8" s="10" t="s">
        <v>28</v>
      </c>
      <c r="N8" s="8">
        <v>75000</v>
      </c>
      <c r="O8" s="8">
        <f>N8*0.005</f>
      </c>
      <c r="P8" s="5" t="s">
        <v>29</v>
      </c>
      <c r="Q8" s="5" t="s">
        <v>30</v>
      </c>
    </row>
    <row r="9" ht="28" customHeight="1" spans="1:17" x14ac:dyDescent="0.25">
      <c r="A9" s="16" t="s">
        <v>46</v>
      </c>
      <c r="B9" s="16"/>
      <c r="C9" s="16"/>
      <c r="D9" s="16"/>
      <c r="E9" s="16"/>
      <c r="F9" s="16"/>
      <c r="G9" s="16"/>
      <c r="H9" s="17">
        <f>SUM(H6:H8)</f>
      </c>
      <c r="I9" s="17">
        <f>SUM(I6:I8)</f>
      </c>
      <c r="J9" s="18"/>
      <c r="K9" s="18"/>
      <c r="L9" s="18"/>
      <c r="M9" s="18"/>
      <c r="N9" s="17">
        <f>SUM(N6:N8)</f>
      </c>
      <c r="O9" s="17">
        <f>SUM(O6:O8)</f>
      </c>
      <c r="P9" s="18"/>
      <c r="Q9" s="18"/>
    </row>
  </sheetData>
  <autoFilter ref="A5:Q5"/>
  <mergeCells count="4">
    <mergeCell ref="A1:Q1"/>
    <mergeCell ref="A2:Q2"/>
    <mergeCell ref="A3:Q3"/>
    <mergeCell ref="A9:G9"/>
  </mergeCells>
  <hyperlinks>
    <hyperlink ref="J6" r:id="rId1" tooltip="Abrir ubicación en Google Maps"/>
    <hyperlink ref="J7" r:id="rId2" tooltip="Abrir ubicación en Google Maps"/>
    <hyperlink ref="J8" r:id="rId3" tooltip="Abrir ubicación en Google Map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32" customWidth="1"/>
    <col min="4" max="4" width="22" customWidth="1"/>
    <col min="5" max="5" width="14" customWidth="1"/>
    <col min="6" max="6" width="34" customWidth="1"/>
  </cols>
  <sheetData>
    <row r="1" ht="32" customHeight="1" spans="1:6" x14ac:dyDescent="0.25">
      <c r="A1" s="19" t="s">
        <v>47</v>
      </c>
      <c r="B1" s="19"/>
      <c r="C1" s="19"/>
      <c r="D1" s="19"/>
      <c r="E1" s="19"/>
      <c r="F1" s="19"/>
    </row>
    <row r="2" ht="22" customHeight="1" spans="1:6" x14ac:dyDescent="0.25">
      <c r="A2" s="20" t="s">
        <v>48</v>
      </c>
      <c r="B2" s="20"/>
      <c r="C2" s="20"/>
      <c r="D2" s="20"/>
      <c r="E2" s="20"/>
      <c r="F2" s="20"/>
    </row>
    <row r="3" ht="26" customHeight="1" spans="1:6" x14ac:dyDescent="0.25">
      <c r="A3" s="21" t="s">
        <v>49</v>
      </c>
      <c r="B3" s="21" t="s">
        <v>50</v>
      </c>
      <c r="C3" s="21" t="s">
        <v>51</v>
      </c>
      <c r="D3" s="21" t="s">
        <v>52</v>
      </c>
      <c r="E3" s="21" t="s">
        <v>53</v>
      </c>
      <c r="F3" s="21" t="s">
        <v>54</v>
      </c>
    </row>
    <row r="4" ht="24" customHeight="1" spans="1:6" x14ac:dyDescent="0.25">
      <c r="A4" s="22" t="s">
        <v>30</v>
      </c>
      <c r="B4" s="23" t="s">
        <v>55</v>
      </c>
      <c r="C4" s="23" t="s">
        <v>56</v>
      </c>
      <c r="D4" s="24" t="s">
        <v>57</v>
      </c>
      <c r="E4" s="22" t="s">
        <v>58</v>
      </c>
      <c r="F4" s="23" t="s">
        <v>59</v>
      </c>
    </row>
    <row r="5" ht="24" customHeight="1" spans="1:6" x14ac:dyDescent="0.25">
      <c r="A5" s="22" t="s">
        <v>60</v>
      </c>
      <c r="B5" s="23" t="s">
        <v>61</v>
      </c>
      <c r="C5" s="23" t="s">
        <v>62</v>
      </c>
      <c r="D5" s="24" t="s">
        <v>63</v>
      </c>
      <c r="E5" s="22" t="s">
        <v>58</v>
      </c>
      <c r="F5" s="23" t="s">
        <v>64</v>
      </c>
    </row>
    <row r="6" ht="24" customHeight="1" spans="1:6" x14ac:dyDescent="0.25">
      <c r="A6" s="22" t="s">
        <v>65</v>
      </c>
      <c r="B6" s="23" t="s">
        <v>66</v>
      </c>
      <c r="C6" s="23" t="s">
        <v>67</v>
      </c>
      <c r="D6" s="24" t="s">
        <v>68</v>
      </c>
      <c r="E6" s="22" t="s">
        <v>58</v>
      </c>
      <c r="F6" s="23" t="s">
        <v>69</v>
      </c>
    </row>
    <row r="7" ht="24" customHeight="1" spans="1:6" x14ac:dyDescent="0.25">
      <c r="A7" s="22" t="s">
        <v>70</v>
      </c>
      <c r="B7" s="23" t="s">
        <v>71</v>
      </c>
      <c r="C7" s="23" t="s">
        <v>72</v>
      </c>
      <c r="D7" s="24" t="s">
        <v>73</v>
      </c>
      <c r="E7" s="22" t="s">
        <v>58</v>
      </c>
      <c r="F7" s="23" t="s">
        <v>69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0" customWidth="1"/>
    <col min="2" max="2" width="15" customWidth="1"/>
    <col min="3" max="3" width="25" customWidth="1"/>
  </cols>
  <sheetData>
    <row r="1" ht="32" customHeight="1" spans="1:4" x14ac:dyDescent="0.25">
      <c r="A1" s="19" t="s">
        <v>74</v>
      </c>
      <c r="B1" s="19"/>
      <c r="C1" s="19"/>
      <c r="D1" s="19"/>
    </row>
    <row r="3" ht="24" customHeight="1" spans="1:3" x14ac:dyDescent="0.25">
      <c r="A3" s="25" t="s">
        <v>75</v>
      </c>
      <c r="B3" s="25"/>
      <c r="C3" s="26">
        <f>=COUNTA('1. Registro de Terrenos'!A6:A8)</f>
      </c>
    </row>
    <row r="4" ht="24" customHeight="1" spans="1:3" x14ac:dyDescent="0.25">
      <c r="A4" s="25" t="s">
        <v>76</v>
      </c>
      <c r="B4" s="25"/>
      <c r="C4" s="26">
        <f>=SUM('1. Registro de Terrenos'!H6:H8)</f>
      </c>
    </row>
    <row r="5" ht="24" customHeight="1" spans="1:3" x14ac:dyDescent="0.25">
      <c r="A5" s="25" t="s">
        <v>77</v>
      </c>
      <c r="B5" s="25"/>
      <c r="C5" s="26">
        <f>=SUM('1. Registro de Terrenos'!I6:I8)</f>
      </c>
    </row>
    <row r="6" ht="24" customHeight="1" spans="1:3" x14ac:dyDescent="0.25">
      <c r="A6" s="25" t="s">
        <v>78</v>
      </c>
      <c r="B6" s="25"/>
      <c r="C6" s="26">
        <f>=SUM('1. Registro de Terrenos'!N6:N8)</f>
      </c>
    </row>
    <row r="7" ht="24" customHeight="1" spans="1:3" x14ac:dyDescent="0.25">
      <c r="A7" s="25" t="s">
        <v>79</v>
      </c>
      <c r="B7" s="25"/>
      <c r="C7" s="26">
        <f>=SUM('1. Registro de Terrenos'!O6:O8)</f>
      </c>
    </row>
  </sheetData>
  <mergeCells count="6">
    <mergeCell ref="A1:D1"/>
    <mergeCell ref="A3:B3"/>
    <mergeCell ref="A4:B4"/>
    <mergeCell ref="A5:B5"/>
    <mergeCell ref="A6:B6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Registro de Terrenos</vt:lpstr>
      <vt:lpstr>2. Control de Usuarios y Claves</vt:lpstr>
      <vt:lpstr>3. Resumen y 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Catastro Municipal</dc:creator>
  <dc:title/>
  <dc:subject/>
  <dc:description/>
  <cp:keywords/>
  <cp:category/>
  <cp:lastModifiedBy>Director de Catastro</cp:lastModifiedBy>
  <dcterms:created xsi:type="dcterms:W3CDTF">2026-07-27T21:24:56Z</dcterms:created>
  <dcterms:modified xsi:type="dcterms:W3CDTF">2026-07-27T21:24:56Z</dcterms:modified>
</cp:coreProperties>
</file>